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remser\Documents\FPC-Redmine-Documents\ToDo\"/>
    </mc:Choice>
  </mc:AlternateContent>
  <xr:revisionPtr revIDLastSave="0" documentId="13_ncr:1_{C4CEC428-1654-4478-89B2-0AFB01E44B26}" xr6:coauthVersionLast="45" xr6:coauthVersionMax="45" xr10:uidLastSave="{00000000-0000-0000-0000-000000000000}"/>
  <bookViews>
    <workbookView xWindow="4410" yWindow="1050" windowWidth="20685" windowHeight="142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3" i="1" l="1"/>
  <c r="C13" i="1" s="1"/>
  <c r="B17" i="1"/>
  <c r="C17" i="1" s="1"/>
  <c r="B18" i="1"/>
  <c r="C18" i="1" s="1"/>
  <c r="B19" i="1"/>
  <c r="C19" i="1" s="1"/>
  <c r="B14" i="1"/>
  <c r="C14" i="1" s="1"/>
  <c r="B15" i="1"/>
  <c r="C15" i="1" s="1"/>
  <c r="B16" i="1"/>
  <c r="C16" i="1" s="1"/>
</calcChain>
</file>

<file path=xl/sharedStrings.xml><?xml version="1.0" encoding="utf-8"?>
<sst xmlns="http://schemas.openxmlformats.org/spreadsheetml/2006/main" count="29" uniqueCount="26">
  <si>
    <t>Conv Speed:</t>
  </si>
  <si>
    <t>FPM</t>
  </si>
  <si>
    <t>Applicator Speed:</t>
  </si>
  <si>
    <t>In/Sec</t>
  </si>
  <si>
    <t>Min Height Box:</t>
  </si>
  <si>
    <t>Inches</t>
  </si>
  <si>
    <t>Max Height Box:</t>
  </si>
  <si>
    <t>2 Photoeyes:</t>
  </si>
  <si>
    <t>Inches per second</t>
  </si>
  <si>
    <t>3 Photoeyes:</t>
  </si>
  <si>
    <t>4 Photoeyes:</t>
  </si>
  <si>
    <t>5 Photoeyes:</t>
  </si>
  <si>
    <t>6 Photoeyes:</t>
  </si>
  <si>
    <t>7 Photoeyes:</t>
  </si>
  <si>
    <t>Enter Conv Speed</t>
  </si>
  <si>
    <t>8 Photoeyes:</t>
  </si>
  <si>
    <t>Enter Max Applicator Speed</t>
  </si>
  <si>
    <t>Enter Min Box Height</t>
  </si>
  <si>
    <t>Enter Max Box Height</t>
  </si>
  <si>
    <t>Height Range:</t>
  </si>
  <si>
    <t>Num Photoeyes</t>
  </si>
  <si>
    <t>Results</t>
  </si>
  <si>
    <t>Height Increment, Inches</t>
  </si>
  <si>
    <t>Label Error, Inches</t>
  </si>
  <si>
    <r>
      <t xml:space="preserve">Allow </t>
    </r>
    <r>
      <rPr>
        <u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0.5 inches for placement accuracy</t>
    </r>
  </si>
  <si>
    <t>Print Apply Label Placement Accuracy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</si>
</sst>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/16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Fill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1" max="1" width="35.7109375" bestFit="1" customWidth="1"/>
    <col min="2" max="2" width="12.85546875" customWidth="1"/>
    <col min="3" max="3" width="10.5703125" customWidth="1"/>
  </cols>
  <sheetData>
    <row r="1" spans="1:4" ht="18.75" x14ac:dyDescent="0.3">
      <c r="A1" s="3" t="s">
        <v>25</v>
      </c>
    </row>
    <row r="3" spans="1:4" x14ac:dyDescent="0.25">
      <c r="A3" s="1" t="s">
        <v>0</v>
      </c>
      <c r="B3" s="2">
        <v>120</v>
      </c>
      <c r="C3" s="1" t="s">
        <v>1</v>
      </c>
      <c r="D3" s="1" t="s">
        <v>14</v>
      </c>
    </row>
    <row r="4" spans="1:4" x14ac:dyDescent="0.25">
      <c r="A4" s="1" t="s">
        <v>2</v>
      </c>
      <c r="B4" s="2">
        <v>65</v>
      </c>
      <c r="C4" s="1" t="s">
        <v>3</v>
      </c>
      <c r="D4" s="1" t="s">
        <v>16</v>
      </c>
    </row>
    <row r="5" spans="1:4" x14ac:dyDescent="0.25">
      <c r="A5" s="1" t="s">
        <v>4</v>
      </c>
      <c r="B5" s="2">
        <v>3.9</v>
      </c>
      <c r="C5" s="1" t="s">
        <v>5</v>
      </c>
      <c r="D5" s="1" t="s">
        <v>17</v>
      </c>
    </row>
    <row r="6" spans="1:4" x14ac:dyDescent="0.25">
      <c r="A6" s="1" t="s">
        <v>6</v>
      </c>
      <c r="B6" s="2">
        <v>19.7</v>
      </c>
      <c r="C6" s="1" t="s">
        <v>5</v>
      </c>
      <c r="D6" s="1" t="s">
        <v>18</v>
      </c>
    </row>
    <row r="7" spans="1:4" x14ac:dyDescent="0.25">
      <c r="A7" s="1"/>
      <c r="B7" s="15"/>
      <c r="C7" s="1"/>
      <c r="D7" s="1"/>
    </row>
    <row r="8" spans="1:4" x14ac:dyDescent="0.25">
      <c r="A8" s="1" t="s">
        <v>21</v>
      </c>
      <c r="B8" s="15"/>
      <c r="C8" s="1"/>
      <c r="D8" s="1"/>
    </row>
    <row r="9" spans="1:4" x14ac:dyDescent="0.25">
      <c r="A9" s="4" t="s">
        <v>0</v>
      </c>
      <c r="B9" s="5">
        <f>+(B3/60)*12</f>
        <v>24</v>
      </c>
      <c r="C9" s="5" t="s">
        <v>8</v>
      </c>
      <c r="D9" s="6"/>
    </row>
    <row r="10" spans="1:4" x14ac:dyDescent="0.25">
      <c r="A10" s="7" t="s">
        <v>19</v>
      </c>
      <c r="B10" s="8">
        <f>+B6-B5</f>
        <v>15.799999999999999</v>
      </c>
      <c r="C10" s="9" t="s">
        <v>5</v>
      </c>
      <c r="D10" s="10"/>
    </row>
    <row r="11" spans="1:4" x14ac:dyDescent="0.25">
      <c r="A11" s="7"/>
      <c r="B11" s="9"/>
      <c r="C11" s="9"/>
      <c r="D11" s="10"/>
    </row>
    <row r="12" spans="1:4" ht="45" x14ac:dyDescent="0.25">
      <c r="A12" s="11" t="s">
        <v>20</v>
      </c>
      <c r="B12" s="16" t="s">
        <v>22</v>
      </c>
      <c r="C12" s="16" t="s">
        <v>23</v>
      </c>
      <c r="D12" s="10"/>
    </row>
    <row r="13" spans="1:4" x14ac:dyDescent="0.25">
      <c r="A13" s="7" t="s">
        <v>7</v>
      </c>
      <c r="B13" s="8">
        <f>+B10/3</f>
        <v>5.2666666666666666</v>
      </c>
      <c r="C13" s="8">
        <f>+(B13/B4)*B9</f>
        <v>1.9446153846153846</v>
      </c>
      <c r="D13" s="10"/>
    </row>
    <row r="14" spans="1:4" x14ac:dyDescent="0.25">
      <c r="A14" s="7" t="s">
        <v>9</v>
      </c>
      <c r="B14" s="8">
        <f>+B10/4</f>
        <v>3.9499999999999997</v>
      </c>
      <c r="C14" s="8">
        <f>+(B14/B4)*B9</f>
        <v>1.4584615384615383</v>
      </c>
      <c r="D14" s="10"/>
    </row>
    <row r="15" spans="1:4" x14ac:dyDescent="0.25">
      <c r="A15" s="7" t="s">
        <v>10</v>
      </c>
      <c r="B15" s="8">
        <f>+B10/5</f>
        <v>3.1599999999999997</v>
      </c>
      <c r="C15" s="8">
        <f>+(B15/B4)*B9</f>
        <v>1.1667692307692306</v>
      </c>
      <c r="D15" s="10"/>
    </row>
    <row r="16" spans="1:4" x14ac:dyDescent="0.25">
      <c r="A16" s="7" t="s">
        <v>11</v>
      </c>
      <c r="B16" s="8">
        <f>+B10/6</f>
        <v>2.6333333333333333</v>
      </c>
      <c r="C16" s="8">
        <f>+(B16/B4)*B9</f>
        <v>0.97230769230769232</v>
      </c>
      <c r="D16" s="10"/>
    </row>
    <row r="17" spans="1:4" x14ac:dyDescent="0.25">
      <c r="A17" s="7" t="s">
        <v>12</v>
      </c>
      <c r="B17" s="8">
        <f>+B10/7</f>
        <v>2.2571428571428571</v>
      </c>
      <c r="C17" s="8">
        <f>+(B17/B4)* B9</f>
        <v>0.83340659340659329</v>
      </c>
      <c r="D17" s="10"/>
    </row>
    <row r="18" spans="1:4" x14ac:dyDescent="0.25">
      <c r="A18" s="7" t="s">
        <v>13</v>
      </c>
      <c r="B18" s="8">
        <f>+B10/8</f>
        <v>1.9749999999999999</v>
      </c>
      <c r="C18" s="8">
        <f>+(B18/B4)* B9</f>
        <v>0.72923076923076913</v>
      </c>
      <c r="D18" s="10"/>
    </row>
    <row r="19" spans="1:4" x14ac:dyDescent="0.25">
      <c r="A19" s="7" t="s">
        <v>15</v>
      </c>
      <c r="B19" s="8">
        <f>+B10/9</f>
        <v>1.7555555555555555</v>
      </c>
      <c r="C19" s="8">
        <f>+(B19/B4)* B9</f>
        <v>0.64820512820512821</v>
      </c>
      <c r="D19" s="10"/>
    </row>
    <row r="20" spans="1:4" x14ac:dyDescent="0.25">
      <c r="A20" s="7"/>
      <c r="B20" s="9"/>
      <c r="C20" s="9"/>
      <c r="D20" s="10"/>
    </row>
    <row r="21" spans="1:4" x14ac:dyDescent="0.25">
      <c r="A21" s="12" t="s">
        <v>24</v>
      </c>
      <c r="B21" s="13"/>
      <c r="C21" s="13"/>
      <c r="D21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Fortna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Conklin</dc:creator>
  <cp:lastModifiedBy>Thurman Kremser</cp:lastModifiedBy>
  <cp:lastPrinted>2012-05-30T15:59:04Z</cp:lastPrinted>
  <dcterms:created xsi:type="dcterms:W3CDTF">2012-05-30T15:08:40Z</dcterms:created>
  <dcterms:modified xsi:type="dcterms:W3CDTF">2020-10-22T17:20:18Z</dcterms:modified>
</cp:coreProperties>
</file>